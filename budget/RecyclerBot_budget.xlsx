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tienda.bricogeek.com" sheetId="1" r:id="rId3"/>
    <sheet state="visible" name="www.diotronic.com" sheetId="2" r:id="rId4"/>
    <sheet state="visible" name="es.farnell.com" sheetId="3" r:id="rId5"/>
    <sheet state="visible" name="www.electan.com" sheetId="4" r:id="rId6"/>
    <sheet state="visible" name="OTROS" sheetId="5" r:id="rId7"/>
  </sheets>
  <definedNames/>
  <calcPr/>
</workbook>
</file>

<file path=xl/sharedStrings.xml><?xml version="1.0" encoding="utf-8"?>
<sst xmlns="http://schemas.openxmlformats.org/spreadsheetml/2006/main" count="74" uniqueCount="33">
  <si>
    <t>TOTAL DEL PROJECTE (automàtic)</t>
  </si>
  <si>
    <t>(Aferir-hi tots els components necessaris)</t>
  </si>
  <si>
    <t>#</t>
  </si>
  <si>
    <t>Component</t>
  </si>
  <si>
    <t>Referncia</t>
  </si>
  <si>
    <t>Preu €</t>
  </si>
  <si>
    <t>Unitats</t>
  </si>
  <si>
    <t>Total</t>
  </si>
  <si>
    <t>URL</t>
  </si>
  <si>
    <t>ARDUINO MEGA ATMEL ATMEGA2560</t>
  </si>
  <si>
    <t>Termistor, NTC, 100 kohm,</t>
  </si>
  <si>
    <t>A000067</t>
  </si>
  <si>
    <t>Pantalla Táctil 3,2''</t>
  </si>
  <si>
    <t>TFT01-3.2</t>
  </si>
  <si>
    <t>Bloque de terminales 2-pins 2.54mm</t>
  </si>
  <si>
    <t>SCREW02</t>
  </si>
  <si>
    <t>Fuente de alimentación ATX 500W</t>
  </si>
  <si>
    <t>CKP500W</t>
  </si>
  <si>
    <t>TRT MOS N FET 60V 30A TO-220</t>
  </si>
  <si>
    <t>IRFZ34</t>
  </si>
  <si>
    <t>DISIPADOR TO220/TO3P C/TERMINA</t>
  </si>
  <si>
    <t>ML8</t>
  </si>
  <si>
    <t>BreadBoard Soldable / Similares</t>
  </si>
  <si>
    <t>ECI</t>
  </si>
  <si>
    <t>Trituradora de Oficina</t>
  </si>
  <si>
    <t>Aprox. Dòlars</t>
  </si>
  <si>
    <t>Broca</t>
  </si>
  <si>
    <t>https://www.amazon.com/Irwin-Industrial-Tools-47416-17-Inch/dp/B00004YO68/ref=pd_lpo_vtph_469_bs_t_1?_encoding=UTF8&amp;psc=1&amp;refRID=93S53GPTYAF2AK3TZTGX</t>
  </si>
  <si>
    <t>Motor Limpiaparabrisas</t>
  </si>
  <si>
    <t>https://www.amazon.es/Febi-Bilstein-17092-Motor-del-limpiaparabrisas/dp/B0068M3RCC/ref=sr_1_1?ie=UTF8&amp;qid=1511376430&amp;sr=8-1&amp;keywords=motor+limpiaparabrisas</t>
  </si>
  <si>
    <t>Tubo y boquilla</t>
  </si>
  <si>
    <t>Hilo Nicrom (0,3mm)</t>
  </si>
  <si>
    <t>https://www.mwmaterialsworld.com/es/hilo-nicrom.html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</si>
</sst>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[$€-1]"/>
    <numFmt numFmtId="165" formatCode="#,##0.00&quot;€&quot;"/>
  </numFmts>
  <fonts count="9">
    <font>
      <sz val="12.0"/>
      <color rgb="FF000000"/>
      <name val="Calibri"/>
    </font>
    <font>
      <b/>
      <sz val="12.0"/>
      <color rgb="FF000000"/>
      <name val="Calibri"/>
    </font>
    <font>
      <sz val="11.0"/>
      <color rgb="FF000000"/>
      <name val="Calibri"/>
    </font>
    <font>
      <name val="Arial"/>
    </font>
    <font>
      <sz val="16.0"/>
      <color rgb="FF000000"/>
      <name val="Calibri"/>
    </font>
    <font>
      <b/>
      <sz val="16.0"/>
      <color rgb="FF000000"/>
      <name val="Calibri"/>
    </font>
    <font>
      <color rgb="FF000000"/>
      <name val="Arial"/>
    </font>
    <font/>
    <font>
      <u/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8CBAD"/>
        <bgColor rgb="FFF8CBAD"/>
      </patternFill>
    </fill>
    <fill>
      <patternFill patternType="solid">
        <fgColor rgb="FF9BC2E6"/>
        <bgColor rgb="FF9BC2E6"/>
      </patternFill>
    </fill>
    <fill>
      <patternFill patternType="solid">
        <fgColor rgb="FFFFFFFF"/>
        <bgColor rgb="FFFFFFFF"/>
      </patternFill>
    </fill>
    <fill>
      <patternFill patternType="solid">
        <fgColor rgb="FF9CC2E5"/>
        <bgColor rgb="FF9CC2E5"/>
      </patternFill>
    </fill>
  </fills>
  <borders count="13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bottom style="double">
        <color rgb="FF000000"/>
      </bottom>
    </border>
    <border>
      <left/>
      <right/>
      <top style="double">
        <color rgb="FF000000"/>
      </top>
      <bottom/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top style="double">
        <color rgb="FF000000"/>
      </top>
      <bottom style="medium">
        <color rgb="FF000000"/>
      </bottom>
    </border>
    <border>
      <left/>
      <right/>
      <top/>
      <bottom/>
    </border>
    <border>
      <right style="thin">
        <color rgb="FF000000"/>
      </right>
      <top style="double">
        <color rgb="FF000000"/>
      </top>
    </border>
    <border>
      <right style="thin">
        <color rgb="FF000000"/>
      </right>
      <bottom style="double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0" numFmtId="0" xfId="0" applyFont="1"/>
    <xf borderId="1" fillId="2" fontId="1" numFmtId="0" xfId="0" applyBorder="1" applyFill="1" applyFont="1"/>
    <xf borderId="2" fillId="2" fontId="1" numFmtId="0" xfId="0" applyBorder="1" applyFont="1"/>
    <xf borderId="0" fillId="0" fontId="0" numFmtId="164" xfId="0" applyFont="1" applyNumberFormat="1"/>
    <xf borderId="3" fillId="2" fontId="1" numFmtId="164" xfId="0" applyBorder="1" applyFont="1" applyNumberFormat="1"/>
    <xf borderId="4" fillId="3" fontId="2" numFmtId="0" xfId="0" applyBorder="1" applyFill="1" applyFont="1"/>
    <xf borderId="4" fillId="3" fontId="2" numFmtId="164" xfId="0" applyAlignment="1" applyBorder="1" applyFont="1" applyNumberFormat="1">
      <alignment horizontal="center"/>
    </xf>
    <xf borderId="4" fillId="3" fontId="2" numFmtId="0" xfId="0" applyAlignment="1" applyBorder="1" applyFont="1">
      <alignment horizontal="center"/>
    </xf>
    <xf borderId="4" fillId="3" fontId="0" numFmtId="0" xfId="0" applyBorder="1" applyFont="1"/>
    <xf borderId="4" fillId="3" fontId="2" numFmtId="164" xfId="0" applyBorder="1" applyFont="1" applyNumberFormat="1"/>
    <xf borderId="0" fillId="0" fontId="3" numFmtId="0" xfId="0" applyAlignment="1" applyFont="1">
      <alignment vertical="bottom"/>
    </xf>
    <xf borderId="0" fillId="0" fontId="0" numFmtId="0" xfId="0" applyAlignment="1" applyFont="1">
      <alignment readingOrder="0"/>
    </xf>
    <xf borderId="0" fillId="0" fontId="3" numFmtId="164" xfId="0" applyAlignment="1" applyFont="1" applyNumberFormat="1">
      <alignment horizontal="right" vertical="bottom"/>
    </xf>
    <xf borderId="0" fillId="0" fontId="0" numFmtId="0" xfId="0" applyAlignment="1" applyFont="1">
      <alignment horizontal="left" readingOrder="0"/>
    </xf>
    <xf borderId="0" fillId="0" fontId="3" numFmtId="0" xfId="0" applyAlignment="1" applyFont="1">
      <alignment horizontal="right" vertical="bottom"/>
    </xf>
    <xf borderId="0" fillId="0" fontId="0" numFmtId="164" xfId="0" applyAlignment="1" applyFont="1" applyNumberFormat="1">
      <alignment readingOrder="0"/>
    </xf>
    <xf borderId="5" fillId="0" fontId="0" numFmtId="0" xfId="0" applyBorder="1" applyFont="1"/>
    <xf borderId="0" fillId="0" fontId="0" numFmtId="0" xfId="0" applyAlignment="1" applyFont="1">
      <alignment readingOrder="0"/>
    </xf>
    <xf borderId="6" fillId="4" fontId="4" numFmtId="0" xfId="0" applyBorder="1" applyFill="1" applyFont="1"/>
    <xf borderId="7" fillId="0" fontId="0" numFmtId="164" xfId="0" applyBorder="1" applyFont="1" applyNumberFormat="1"/>
    <xf borderId="6" fillId="4" fontId="5" numFmtId="0" xfId="0" applyBorder="1" applyFont="1"/>
    <xf borderId="0" fillId="5" fontId="6" numFmtId="164" xfId="0" applyAlignment="1" applyFill="1" applyFont="1" applyNumberFormat="1">
      <alignment horizontal="right" vertical="bottom"/>
    </xf>
    <xf borderId="8" fillId="4" fontId="4" numFmtId="0" xfId="0" applyBorder="1" applyFont="1"/>
    <xf borderId="0" fillId="0" fontId="4" numFmtId="0" xfId="0" applyFont="1"/>
    <xf borderId="5" fillId="0" fontId="0" numFmtId="164" xfId="0" applyBorder="1" applyFont="1" applyNumberFormat="1"/>
    <xf borderId="0" fillId="0" fontId="3" numFmtId="165" xfId="0" applyAlignment="1" applyFont="1" applyNumberFormat="1">
      <alignment horizontal="right" vertical="bottom"/>
    </xf>
    <xf borderId="9" fillId="4" fontId="4" numFmtId="0" xfId="0" applyBorder="1" applyFont="1"/>
    <xf borderId="9" fillId="4" fontId="4" numFmtId="164" xfId="0" applyBorder="1" applyFont="1" applyNumberFormat="1"/>
    <xf borderId="0" fillId="0" fontId="3" numFmtId="0" xfId="0" applyAlignment="1" applyFont="1">
      <alignment horizontal="left" vertical="bottom"/>
    </xf>
    <xf borderId="9" fillId="4" fontId="5" numFmtId="0" xfId="0" applyBorder="1" applyFont="1"/>
    <xf borderId="8" fillId="4" fontId="4" numFmtId="164" xfId="0" applyBorder="1" applyFont="1" applyNumberFormat="1"/>
    <xf borderId="0" fillId="0" fontId="7" numFmtId="164" xfId="0" applyFont="1" applyNumberFormat="1"/>
    <xf borderId="10" fillId="0" fontId="0" numFmtId="0" xfId="0" applyBorder="1" applyFont="1"/>
    <xf borderId="7" fillId="0" fontId="0" numFmtId="0" xfId="0" applyBorder="1" applyFont="1"/>
    <xf borderId="11" fillId="0" fontId="0" numFmtId="0" xfId="0" applyBorder="1" applyFont="1"/>
    <xf borderId="9" fillId="6" fontId="4" numFmtId="0" xfId="0" applyBorder="1" applyFill="1" applyFont="1"/>
    <xf borderId="9" fillId="6" fontId="5" numFmtId="0" xfId="0" applyBorder="1" applyFont="1"/>
    <xf borderId="12" fillId="6" fontId="4" numFmtId="0" xfId="0" applyBorder="1" applyFont="1"/>
    <xf borderId="0" fillId="0" fontId="7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Irwin-Industrial-Tools-47416-17-Inch/dp/B00004YO68/ref=pd_lpo_vtph_469_bs_t_1?_encoding=UTF8&amp;psc=1&amp;refRID=93S53GPTYAF2AK3TZTGX" TargetMode="External"/><Relationship Id="rId2" Type="http://schemas.openxmlformats.org/officeDocument/2006/relationships/hyperlink" Target="https://www.amazon.es/Febi-Bilstein-17092-Motor-del-limpiaparabrisas/dp/B0068M3RCC/ref=sr_1_1?ie=UTF8&amp;qid=1511376430&amp;sr=8-1&amp;keywords=motor+limpiaparabrisas" TargetMode="External"/><Relationship Id="rId3" Type="http://schemas.openxmlformats.org/officeDocument/2006/relationships/hyperlink" Target="https://www.mwmaterialsworld.com/es/hilo-nicrom.html" TargetMode="Externa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0.78"/>
    <col customWidth="1" min="2" max="2" width="33.0"/>
    <col customWidth="1" min="3" max="3" width="22.33"/>
    <col customWidth="1" min="4" max="6" width="10.56"/>
    <col customWidth="1" min="7" max="7" width="50.78"/>
    <col customWidth="1" min="8" max="10" width="10.78"/>
    <col customWidth="1" min="11" max="26" width="10.5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3"/>
      <c r="C2" s="3"/>
      <c r="D2" s="5">
        <f>es.farnell.com!F15+www.diotronic.com!F15+tienda.bricogeek.com!F15+www.electan.com!F15</f>
        <v>223.31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6" t="s">
        <v>2</v>
      </c>
      <c r="B6" s="6" t="s">
        <v>3</v>
      </c>
      <c r="C6" s="6" t="s">
        <v>4</v>
      </c>
      <c r="D6" s="8" t="s">
        <v>5</v>
      </c>
      <c r="E6" s="8" t="s">
        <v>6</v>
      </c>
      <c r="F6" s="6" t="s">
        <v>7</v>
      </c>
      <c r="G6" s="9" t="s">
        <v>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>
        <v>1.0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>
        <v>2.0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>
        <v>3.0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>
        <v>4.0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>
        <v>5.0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>
        <v>6.0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>
        <v>7.0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7">
        <v>8.0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9"/>
      <c r="B15" s="19"/>
      <c r="C15" s="19"/>
      <c r="D15" s="19"/>
      <c r="E15" s="21" t="s">
        <v>7</v>
      </c>
      <c r="F15" s="23">
        <v>0.0</v>
      </c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0.78"/>
    <col customWidth="1" min="2" max="3" width="22.33"/>
    <col customWidth="1" min="4" max="6" width="10.56"/>
    <col customWidth="1" min="7" max="7" width="50.78"/>
    <col customWidth="1" min="8" max="10" width="10.78"/>
    <col customWidth="1" min="11" max="26" width="10.5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3"/>
      <c r="C2" s="3"/>
      <c r="D2" s="5">
        <f>es.farnell.com!F15+www.diotronic.com!F15+tienda.bricogeek.com!F15+www.electan.com!F15</f>
        <v>223.31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6" t="s">
        <v>2</v>
      </c>
      <c r="B6" s="6" t="s">
        <v>3</v>
      </c>
      <c r="C6" s="6" t="s">
        <v>4</v>
      </c>
      <c r="D6" s="8" t="s">
        <v>5</v>
      </c>
      <c r="E6" s="8" t="s">
        <v>6</v>
      </c>
      <c r="F6" s="6" t="s">
        <v>7</v>
      </c>
      <c r="G6" s="9" t="s">
        <v>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>
        <v>1.0</v>
      </c>
      <c r="B7" s="11" t="s">
        <v>9</v>
      </c>
      <c r="C7" s="11" t="s">
        <v>11</v>
      </c>
      <c r="D7" s="13">
        <v>36.18</v>
      </c>
      <c r="E7" s="15">
        <v>2.0</v>
      </c>
      <c r="F7" s="13">
        <f>PRODUCT(D7,E7)</f>
        <v>72.36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>
        <v>2.0</v>
      </c>
      <c r="B8" s="11" t="s">
        <v>12</v>
      </c>
      <c r="C8" s="11" t="s">
        <v>13</v>
      </c>
      <c r="D8" s="13">
        <v>36.18</v>
      </c>
      <c r="E8" s="15">
        <v>2.0</v>
      </c>
      <c r="F8" s="22">
        <f>PRODUCT(D7,E7)</f>
        <v>72.36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>
        <v>3.0</v>
      </c>
      <c r="B9" s="11" t="s">
        <v>14</v>
      </c>
      <c r="C9" s="11" t="s">
        <v>15</v>
      </c>
      <c r="D9" s="13">
        <v>0.54</v>
      </c>
      <c r="E9" s="15">
        <v>10.0</v>
      </c>
      <c r="F9" s="13">
        <f t="shared" ref="F9:F14" si="1">PRODUCT(D9,E9)</f>
        <v>5.4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>
        <v>4.0</v>
      </c>
      <c r="B10" s="11" t="s">
        <v>16</v>
      </c>
      <c r="C10" s="11" t="s">
        <v>17</v>
      </c>
      <c r="D10" s="13">
        <v>19.72</v>
      </c>
      <c r="E10" s="15">
        <v>1.0</v>
      </c>
      <c r="F10" s="13">
        <f t="shared" si="1"/>
        <v>19.72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>
        <v>5.0</v>
      </c>
      <c r="B11" s="11" t="s">
        <v>18</v>
      </c>
      <c r="C11" s="11" t="s">
        <v>19</v>
      </c>
      <c r="D11" s="13">
        <v>0.56</v>
      </c>
      <c r="E11" s="15">
        <v>10.0</v>
      </c>
      <c r="F11" s="13">
        <f t="shared" si="1"/>
        <v>5.6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>
        <v>6.0</v>
      </c>
      <c r="B12" s="11" t="s">
        <v>20</v>
      </c>
      <c r="C12" s="11" t="s">
        <v>21</v>
      </c>
      <c r="D12" s="26">
        <v>0.63</v>
      </c>
      <c r="E12" s="15">
        <v>10.0</v>
      </c>
      <c r="F12" s="13">
        <f t="shared" si="1"/>
        <v>6.3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>
        <v>7.0</v>
      </c>
      <c r="B13" s="11" t="s">
        <v>22</v>
      </c>
      <c r="C13" s="11" t="s">
        <v>23</v>
      </c>
      <c r="D13" s="13">
        <v>7.61</v>
      </c>
      <c r="E13" s="15">
        <v>2.0</v>
      </c>
      <c r="F13" s="13">
        <f t="shared" si="1"/>
        <v>15.22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7">
        <v>8.0</v>
      </c>
      <c r="B14" s="11" t="s">
        <v>24</v>
      </c>
      <c r="C14" s="29">
        <v>91602.0</v>
      </c>
      <c r="D14" s="13">
        <v>17.23</v>
      </c>
      <c r="E14" s="15">
        <v>1.0</v>
      </c>
      <c r="F14" s="13">
        <f t="shared" si="1"/>
        <v>17.23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9"/>
      <c r="B15" s="19"/>
      <c r="C15" s="19"/>
      <c r="D15" s="19"/>
      <c r="E15" s="21" t="s">
        <v>7</v>
      </c>
      <c r="F15" s="31">
        <f>sum(F7:F14)</f>
        <v>214.19</v>
      </c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0.78"/>
    <col customWidth="1" min="2" max="3" width="22.33"/>
    <col customWidth="1" min="4" max="6" width="10.56"/>
    <col customWidth="1" min="7" max="7" width="50.78"/>
    <col customWidth="1" min="8" max="10" width="10.78"/>
    <col customWidth="1" min="11" max="26" width="10.56"/>
  </cols>
  <sheetData>
    <row r="1">
      <c r="A1" s="1"/>
      <c r="B1" s="1"/>
      <c r="C1" s="1"/>
      <c r="D1" s="4"/>
      <c r="E1" s="1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3"/>
      <c r="C2" s="3"/>
      <c r="D2" s="5">
        <f>es.farnell.com!F15+www.diotronic.com!F15+tienda.bricogeek.com!F15+www.electan.com!F15</f>
        <v>223.31</v>
      </c>
      <c r="E2" s="1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4"/>
      <c r="E3" s="1"/>
      <c r="F3" s="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</v>
      </c>
      <c r="B4" s="1"/>
      <c r="C4" s="1"/>
      <c r="D4" s="4"/>
      <c r="E4" s="1"/>
      <c r="F4" s="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4"/>
      <c r="E5" s="1"/>
      <c r="F5" s="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6" t="s">
        <v>2</v>
      </c>
      <c r="B6" s="6" t="s">
        <v>3</v>
      </c>
      <c r="C6" s="6" t="s">
        <v>4</v>
      </c>
      <c r="D6" s="7" t="s">
        <v>5</v>
      </c>
      <c r="E6" s="8" t="s">
        <v>6</v>
      </c>
      <c r="F6" s="10" t="s">
        <v>7</v>
      </c>
      <c r="G6" s="9" t="s">
        <v>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>
        <v>1.0</v>
      </c>
      <c r="B7" s="12" t="s">
        <v>10</v>
      </c>
      <c r="C7" s="14">
        <v>2112935.0</v>
      </c>
      <c r="D7" s="16">
        <v>2.28</v>
      </c>
      <c r="E7" s="18">
        <v>4.0</v>
      </c>
      <c r="F7" s="20">
        <f t="shared" ref="F7:F14" si="1">PRODUCT(D7,E7)</f>
        <v>9.12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>
        <v>2.0</v>
      </c>
      <c r="B8" s="1"/>
      <c r="C8" s="1"/>
      <c r="D8" s="4"/>
      <c r="E8" s="1"/>
      <c r="F8" s="20">
        <f t="shared" si="1"/>
        <v>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>
        <v>3.0</v>
      </c>
      <c r="B9" s="1"/>
      <c r="C9" s="1"/>
      <c r="D9" s="4"/>
      <c r="E9" s="1"/>
      <c r="F9" s="20">
        <f t="shared" si="1"/>
        <v>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>
        <v>4.0</v>
      </c>
      <c r="B10" s="1"/>
      <c r="C10" s="1"/>
      <c r="D10" s="4"/>
      <c r="E10" s="1"/>
      <c r="F10" s="20">
        <f t="shared" si="1"/>
        <v>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>
        <v>5.0</v>
      </c>
      <c r="B11" s="1"/>
      <c r="C11" s="1"/>
      <c r="D11" s="4"/>
      <c r="E11" s="1"/>
      <c r="F11" s="20">
        <f t="shared" si="1"/>
        <v>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>
        <v>6.0</v>
      </c>
      <c r="B12" s="1"/>
      <c r="C12" s="1"/>
      <c r="D12" s="4"/>
      <c r="E12" s="1"/>
      <c r="F12" s="20">
        <f t="shared" si="1"/>
        <v>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>
        <v>7.0</v>
      </c>
      <c r="B13" s="1"/>
      <c r="C13" s="1"/>
      <c r="D13" s="4"/>
      <c r="E13" s="1"/>
      <c r="F13" s="20">
        <f t="shared" si="1"/>
        <v>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7">
        <v>8.0</v>
      </c>
      <c r="B14" s="17"/>
      <c r="C14" s="17"/>
      <c r="D14" s="25"/>
      <c r="E14" s="17"/>
      <c r="F14" s="20">
        <f t="shared" si="1"/>
        <v>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7"/>
      <c r="B15" s="27"/>
      <c r="C15" s="27"/>
      <c r="D15" s="28"/>
      <c r="E15" s="30" t="s">
        <v>7</v>
      </c>
      <c r="F15" s="31">
        <f>SUM(F7:F14)</f>
        <v>9.12</v>
      </c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1"/>
      <c r="D16" s="32"/>
      <c r="F16" s="3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D17" s="32"/>
      <c r="F17" s="3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D18" s="32"/>
      <c r="F18" s="3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D19" s="32"/>
      <c r="F19" s="3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D20" s="32"/>
      <c r="F20" s="3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D21" s="32"/>
      <c r="F21" s="3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D22" s="32"/>
      <c r="F22" s="3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D23" s="32"/>
      <c r="F23" s="3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D24" s="32"/>
      <c r="F24" s="3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D25" s="32"/>
      <c r="F25" s="3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D26" s="32"/>
      <c r="F26" s="3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D27" s="32"/>
      <c r="F27" s="3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D28" s="32"/>
      <c r="F28" s="3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D29" s="32"/>
      <c r="F29" s="3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D30" s="32"/>
      <c r="F30" s="3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D31" s="32"/>
      <c r="F31" s="3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D32" s="32"/>
      <c r="F32" s="3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D33" s="32"/>
      <c r="F33" s="3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D34" s="32"/>
      <c r="F34" s="3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D35" s="32"/>
      <c r="F35" s="3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D36" s="32"/>
      <c r="F36" s="3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D37" s="32"/>
      <c r="F37" s="3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D38" s="32"/>
      <c r="F38" s="3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D39" s="32"/>
      <c r="F39" s="3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D40" s="32"/>
      <c r="F40" s="3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D41" s="32"/>
      <c r="F41" s="3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D42" s="32"/>
      <c r="F42" s="3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D43" s="32"/>
      <c r="F43" s="3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D44" s="32"/>
      <c r="F44" s="3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D45" s="32"/>
      <c r="F45" s="3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D46" s="32"/>
      <c r="F46" s="3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D47" s="32"/>
      <c r="F47" s="3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D48" s="32"/>
      <c r="F48" s="3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D49" s="32"/>
      <c r="F49" s="3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D50" s="32"/>
      <c r="F50" s="3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D51" s="32"/>
      <c r="F51" s="3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D52" s="32"/>
      <c r="F52" s="3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D53" s="32"/>
      <c r="F53" s="3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D54" s="32"/>
      <c r="F54" s="3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D55" s="32"/>
      <c r="F55" s="3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D56" s="32"/>
      <c r="F56" s="3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D57" s="32"/>
      <c r="F57" s="3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D58" s="32"/>
      <c r="F58" s="3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D59" s="32"/>
      <c r="F59" s="3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D60" s="32"/>
      <c r="F60" s="3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D61" s="32"/>
      <c r="F61" s="3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D62" s="32"/>
      <c r="F62" s="3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D63" s="32"/>
      <c r="F63" s="3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D64" s="32"/>
      <c r="F64" s="3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D65" s="32"/>
      <c r="F65" s="3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D66" s="32"/>
      <c r="F66" s="3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D67" s="32"/>
      <c r="F67" s="3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D68" s="32"/>
      <c r="F68" s="3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D69" s="32"/>
      <c r="F69" s="3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D70" s="32"/>
      <c r="F70" s="3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D71" s="32"/>
      <c r="F71" s="3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D72" s="32"/>
      <c r="F72" s="3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D73" s="32"/>
      <c r="F73" s="3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D74" s="32"/>
      <c r="F74" s="3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D75" s="32"/>
      <c r="F75" s="3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D76" s="32"/>
      <c r="F76" s="3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D77" s="32"/>
      <c r="F77" s="3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D78" s="32"/>
      <c r="F78" s="3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D79" s="32"/>
      <c r="F79" s="3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D80" s="32"/>
      <c r="F80" s="3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D81" s="32"/>
      <c r="F81" s="3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D82" s="32"/>
      <c r="F82" s="3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D83" s="32"/>
      <c r="F83" s="3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D84" s="32"/>
      <c r="F84" s="3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D85" s="32"/>
      <c r="F85" s="3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D86" s="32"/>
      <c r="F86" s="3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D87" s="32"/>
      <c r="F87" s="3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D88" s="32"/>
      <c r="F88" s="3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D89" s="32"/>
      <c r="F89" s="3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D90" s="32"/>
      <c r="F90" s="3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D91" s="32"/>
      <c r="F91" s="3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D92" s="32"/>
      <c r="F92" s="3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D93" s="32"/>
      <c r="F93" s="3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D94" s="32"/>
      <c r="F94" s="3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D95" s="32"/>
      <c r="F95" s="3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D96" s="32"/>
      <c r="F96" s="3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D97" s="32"/>
      <c r="F97" s="3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D98" s="32"/>
      <c r="F98" s="3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D99" s="32"/>
      <c r="F99" s="3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D100" s="32"/>
      <c r="F100" s="3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D101" s="32"/>
      <c r="F101" s="3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D102" s="32"/>
      <c r="F102" s="3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D103" s="32"/>
      <c r="F103" s="3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D104" s="32"/>
      <c r="F104" s="3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D105" s="32"/>
      <c r="F105" s="3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D106" s="32"/>
      <c r="F106" s="3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D107" s="32"/>
      <c r="F107" s="3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D108" s="32"/>
      <c r="F108" s="3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D109" s="32"/>
      <c r="F109" s="3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D110" s="32"/>
      <c r="F110" s="3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D111" s="32"/>
      <c r="F111" s="3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D112" s="32"/>
      <c r="F112" s="3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D113" s="32"/>
      <c r="F113" s="3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D114" s="32"/>
      <c r="F114" s="3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D115" s="32"/>
      <c r="F115" s="3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D116" s="32"/>
      <c r="F116" s="3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D117" s="32"/>
      <c r="F117" s="3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D118" s="32"/>
      <c r="F118" s="3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D119" s="32"/>
      <c r="F119" s="3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D120" s="32"/>
      <c r="F120" s="3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D121" s="32"/>
      <c r="F121" s="3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D122" s="32"/>
      <c r="F122" s="3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D123" s="32"/>
      <c r="F123" s="3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D124" s="32"/>
      <c r="F124" s="3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D125" s="32"/>
      <c r="F125" s="3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D126" s="32"/>
      <c r="F126" s="3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D127" s="32"/>
      <c r="F127" s="3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D128" s="32"/>
      <c r="F128" s="3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D129" s="32"/>
      <c r="F129" s="3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D130" s="32"/>
      <c r="F130" s="3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D131" s="32"/>
      <c r="F131" s="3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D132" s="32"/>
      <c r="F132" s="3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D133" s="32"/>
      <c r="F133" s="3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D134" s="32"/>
      <c r="F134" s="3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D135" s="32"/>
      <c r="F135" s="3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D136" s="32"/>
      <c r="F136" s="3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D137" s="32"/>
      <c r="F137" s="3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D138" s="32"/>
      <c r="F138" s="3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D139" s="32"/>
      <c r="F139" s="3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D140" s="32"/>
      <c r="F140" s="3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D141" s="32"/>
      <c r="F141" s="3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D142" s="32"/>
      <c r="F142" s="3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D143" s="32"/>
      <c r="F143" s="3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D144" s="32"/>
      <c r="F144" s="3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D145" s="32"/>
      <c r="F145" s="3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D146" s="32"/>
      <c r="F146" s="3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D147" s="32"/>
      <c r="F147" s="3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D148" s="32"/>
      <c r="F148" s="3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D149" s="32"/>
      <c r="F149" s="3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D150" s="32"/>
      <c r="F150" s="3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D151" s="32"/>
      <c r="F151" s="3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D152" s="32"/>
      <c r="F152" s="3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D153" s="32"/>
      <c r="F153" s="3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D154" s="32"/>
      <c r="F154" s="3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D155" s="32"/>
      <c r="F155" s="3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D156" s="32"/>
      <c r="F156" s="3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D157" s="32"/>
      <c r="F157" s="3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D158" s="32"/>
      <c r="F158" s="3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D159" s="32"/>
      <c r="F159" s="3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D160" s="32"/>
      <c r="F160" s="3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D161" s="32"/>
      <c r="F161" s="3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D162" s="32"/>
      <c r="F162" s="3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D163" s="32"/>
      <c r="F163" s="3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D164" s="32"/>
      <c r="F164" s="3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D165" s="32"/>
      <c r="F165" s="3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D166" s="32"/>
      <c r="F166" s="3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D167" s="32"/>
      <c r="F167" s="3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D168" s="32"/>
      <c r="F168" s="3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D169" s="32"/>
      <c r="F169" s="3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D170" s="32"/>
      <c r="F170" s="3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D171" s="32"/>
      <c r="F171" s="3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D172" s="32"/>
      <c r="F172" s="3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D173" s="32"/>
      <c r="F173" s="3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D174" s="32"/>
      <c r="F174" s="3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D175" s="32"/>
      <c r="F175" s="3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D176" s="32"/>
      <c r="F176" s="3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D177" s="32"/>
      <c r="F177" s="3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D178" s="32"/>
      <c r="F178" s="3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D179" s="32"/>
      <c r="F179" s="3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D180" s="32"/>
      <c r="F180" s="3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D181" s="32"/>
      <c r="F181" s="3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D182" s="32"/>
      <c r="F182" s="3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D183" s="32"/>
      <c r="F183" s="3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D184" s="32"/>
      <c r="F184" s="3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D185" s="32"/>
      <c r="F185" s="3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D186" s="32"/>
      <c r="F186" s="3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D187" s="32"/>
      <c r="F187" s="3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D188" s="32"/>
      <c r="F188" s="3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D189" s="32"/>
      <c r="F189" s="3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D190" s="32"/>
      <c r="F190" s="3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D191" s="32"/>
      <c r="F191" s="3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D192" s="32"/>
      <c r="F192" s="3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D193" s="32"/>
      <c r="F193" s="3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D194" s="32"/>
      <c r="F194" s="3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D195" s="32"/>
      <c r="F195" s="3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D196" s="32"/>
      <c r="F196" s="3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D197" s="32"/>
      <c r="F197" s="3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D198" s="32"/>
      <c r="F198" s="3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D199" s="32"/>
      <c r="F199" s="3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D200" s="32"/>
      <c r="F200" s="3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D201" s="32"/>
      <c r="F201" s="3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D202" s="32"/>
      <c r="F202" s="3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D203" s="32"/>
      <c r="F203" s="3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D204" s="32"/>
      <c r="F204" s="3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D205" s="32"/>
      <c r="F205" s="3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D206" s="32"/>
      <c r="F206" s="3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D207" s="32"/>
      <c r="F207" s="3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D208" s="32"/>
      <c r="F208" s="3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D209" s="32"/>
      <c r="F209" s="3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D210" s="32"/>
      <c r="F210" s="3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D211" s="32"/>
      <c r="F211" s="3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D212" s="32"/>
      <c r="F212" s="3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D213" s="32"/>
      <c r="F213" s="3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D214" s="32"/>
      <c r="F214" s="3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D215" s="32"/>
      <c r="F215" s="3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D216" s="32"/>
      <c r="F216" s="3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D217" s="32"/>
      <c r="F217" s="3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D218" s="32"/>
      <c r="F218" s="3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D219" s="32"/>
      <c r="F219" s="3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D220" s="32"/>
      <c r="F220" s="3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D221" s="32"/>
      <c r="F221" s="3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D222" s="32"/>
      <c r="F222" s="3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D223" s="32"/>
      <c r="F223" s="3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D224" s="32"/>
      <c r="F224" s="3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D225" s="32"/>
      <c r="F225" s="3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D226" s="32"/>
      <c r="F226" s="3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D227" s="32"/>
      <c r="F227" s="3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D228" s="32"/>
      <c r="F228" s="3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D229" s="32"/>
      <c r="F229" s="3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D230" s="32"/>
      <c r="F230" s="3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D231" s="32"/>
      <c r="F231" s="3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D232" s="32"/>
      <c r="F232" s="3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D233" s="32"/>
      <c r="F233" s="3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D234" s="32"/>
      <c r="F234" s="3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D235" s="32"/>
      <c r="F235" s="3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D236" s="32"/>
      <c r="F236" s="3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D237" s="32"/>
      <c r="F237" s="3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D238" s="32"/>
      <c r="F238" s="3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D239" s="32"/>
      <c r="F239" s="3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D240" s="32"/>
      <c r="F240" s="3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D241" s="32"/>
      <c r="F241" s="3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D242" s="32"/>
      <c r="F242" s="3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D243" s="32"/>
      <c r="F243" s="3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D244" s="32"/>
      <c r="F244" s="3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D245" s="32"/>
      <c r="F245" s="3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D246" s="32"/>
      <c r="F246" s="3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D247" s="32"/>
      <c r="F247" s="3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D248" s="32"/>
      <c r="F248" s="3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D249" s="32"/>
      <c r="F249" s="3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D250" s="32"/>
      <c r="F250" s="3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D251" s="32"/>
      <c r="F251" s="3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D252" s="32"/>
      <c r="F252" s="3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D253" s="32"/>
      <c r="F253" s="3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D254" s="32"/>
      <c r="F254" s="3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D255" s="32"/>
      <c r="F255" s="3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D256" s="32"/>
      <c r="F256" s="3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D257" s="32"/>
      <c r="F257" s="3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D258" s="32"/>
      <c r="F258" s="3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D259" s="32"/>
      <c r="F259" s="3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D260" s="32"/>
      <c r="F260" s="3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D261" s="32"/>
      <c r="F261" s="3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D262" s="32"/>
      <c r="F262" s="3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D263" s="32"/>
      <c r="F263" s="3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D264" s="32"/>
      <c r="F264" s="3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D265" s="32"/>
      <c r="F265" s="3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D266" s="32"/>
      <c r="F266" s="3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D267" s="32"/>
      <c r="F267" s="3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D268" s="32"/>
      <c r="F268" s="3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D269" s="32"/>
      <c r="F269" s="3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D270" s="32"/>
      <c r="F270" s="3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D271" s="32"/>
      <c r="F271" s="3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D272" s="32"/>
      <c r="F272" s="3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D273" s="32"/>
      <c r="F273" s="3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D274" s="32"/>
      <c r="F274" s="3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D275" s="32"/>
      <c r="F275" s="3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D276" s="32"/>
      <c r="F276" s="3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D277" s="32"/>
      <c r="F277" s="3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D278" s="32"/>
      <c r="F278" s="3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D279" s="32"/>
      <c r="F279" s="3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D280" s="32"/>
      <c r="F280" s="3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D281" s="32"/>
      <c r="F281" s="3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D282" s="32"/>
      <c r="F282" s="3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D283" s="32"/>
      <c r="F283" s="3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D284" s="32"/>
      <c r="F284" s="3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D285" s="32"/>
      <c r="F285" s="3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D286" s="32"/>
      <c r="F286" s="3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D287" s="32"/>
      <c r="F287" s="3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D288" s="32"/>
      <c r="F288" s="3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D289" s="32"/>
      <c r="F289" s="3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D290" s="32"/>
      <c r="F290" s="3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D291" s="32"/>
      <c r="F291" s="3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D292" s="32"/>
      <c r="F292" s="3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D293" s="32"/>
      <c r="F293" s="3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D294" s="32"/>
      <c r="F294" s="3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D295" s="32"/>
      <c r="F295" s="3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D296" s="32"/>
      <c r="F296" s="3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D297" s="32"/>
      <c r="F297" s="3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D298" s="32"/>
      <c r="F298" s="3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D299" s="32"/>
      <c r="F299" s="3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D300" s="32"/>
      <c r="F300" s="3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D301" s="32"/>
      <c r="F301" s="3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D302" s="32"/>
      <c r="F302" s="3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D303" s="32"/>
      <c r="F303" s="3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D304" s="32"/>
      <c r="F304" s="3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D305" s="32"/>
      <c r="F305" s="3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D306" s="32"/>
      <c r="F306" s="3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D307" s="32"/>
      <c r="F307" s="3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D308" s="32"/>
      <c r="F308" s="3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D309" s="32"/>
      <c r="F309" s="3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D310" s="32"/>
      <c r="F310" s="3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D311" s="32"/>
      <c r="F311" s="3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D312" s="32"/>
      <c r="F312" s="3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D313" s="32"/>
      <c r="F313" s="3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D314" s="32"/>
      <c r="F314" s="3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D315" s="32"/>
      <c r="F315" s="3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D316" s="32"/>
      <c r="F316" s="3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D317" s="32"/>
      <c r="F317" s="3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D318" s="32"/>
      <c r="F318" s="3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D319" s="32"/>
      <c r="F319" s="3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D320" s="32"/>
      <c r="F320" s="3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D321" s="32"/>
      <c r="F321" s="3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D322" s="32"/>
      <c r="F322" s="3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D323" s="32"/>
      <c r="F323" s="3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D324" s="32"/>
      <c r="F324" s="3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D325" s="32"/>
      <c r="F325" s="3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D326" s="32"/>
      <c r="F326" s="3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D327" s="32"/>
      <c r="F327" s="3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D328" s="32"/>
      <c r="F328" s="3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D329" s="32"/>
      <c r="F329" s="3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D330" s="32"/>
      <c r="F330" s="3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D331" s="32"/>
      <c r="F331" s="3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D332" s="32"/>
      <c r="F332" s="3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D333" s="32"/>
      <c r="F333" s="3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D334" s="32"/>
      <c r="F334" s="3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D335" s="32"/>
      <c r="F335" s="3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D336" s="32"/>
      <c r="F336" s="3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D337" s="32"/>
      <c r="F337" s="3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D338" s="32"/>
      <c r="F338" s="3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D339" s="32"/>
      <c r="F339" s="3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D340" s="32"/>
      <c r="F340" s="3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D341" s="32"/>
      <c r="F341" s="3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D342" s="32"/>
      <c r="F342" s="3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D343" s="32"/>
      <c r="F343" s="3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D344" s="32"/>
      <c r="F344" s="3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D345" s="32"/>
      <c r="F345" s="3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D346" s="32"/>
      <c r="F346" s="3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D347" s="32"/>
      <c r="F347" s="3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D348" s="32"/>
      <c r="F348" s="3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D349" s="32"/>
      <c r="F349" s="3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D350" s="32"/>
      <c r="F350" s="3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D351" s="32"/>
      <c r="F351" s="3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D352" s="32"/>
      <c r="F352" s="3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D353" s="32"/>
      <c r="F353" s="3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D354" s="32"/>
      <c r="F354" s="3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D355" s="32"/>
      <c r="F355" s="3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D356" s="32"/>
      <c r="F356" s="3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D357" s="32"/>
      <c r="F357" s="3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D358" s="32"/>
      <c r="F358" s="3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D359" s="32"/>
      <c r="F359" s="3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D360" s="32"/>
      <c r="F360" s="3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D361" s="32"/>
      <c r="F361" s="3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D362" s="32"/>
      <c r="F362" s="3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D363" s="32"/>
      <c r="F363" s="3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D364" s="32"/>
      <c r="F364" s="3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D365" s="32"/>
      <c r="F365" s="3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D366" s="32"/>
      <c r="F366" s="3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D367" s="32"/>
      <c r="F367" s="3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D368" s="32"/>
      <c r="F368" s="3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D369" s="32"/>
      <c r="F369" s="3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D370" s="32"/>
      <c r="F370" s="3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D371" s="32"/>
      <c r="F371" s="3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D372" s="32"/>
      <c r="F372" s="3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D373" s="32"/>
      <c r="F373" s="3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D374" s="32"/>
      <c r="F374" s="3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D375" s="32"/>
      <c r="F375" s="3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D376" s="32"/>
      <c r="F376" s="3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D377" s="32"/>
      <c r="F377" s="3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D378" s="32"/>
      <c r="F378" s="3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D379" s="32"/>
      <c r="F379" s="3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D380" s="32"/>
      <c r="F380" s="3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D381" s="32"/>
      <c r="F381" s="3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D382" s="32"/>
      <c r="F382" s="3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D383" s="32"/>
      <c r="F383" s="3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D384" s="32"/>
      <c r="F384" s="3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D385" s="32"/>
      <c r="F385" s="3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D386" s="32"/>
      <c r="F386" s="3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D387" s="32"/>
      <c r="F387" s="3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D388" s="32"/>
      <c r="F388" s="3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D389" s="32"/>
      <c r="F389" s="3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D390" s="32"/>
      <c r="F390" s="3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D391" s="32"/>
      <c r="F391" s="3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D392" s="32"/>
      <c r="F392" s="3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D393" s="32"/>
      <c r="F393" s="3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D394" s="32"/>
      <c r="F394" s="3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D395" s="32"/>
      <c r="F395" s="3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D396" s="32"/>
      <c r="F396" s="3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D397" s="32"/>
      <c r="F397" s="3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D398" s="32"/>
      <c r="F398" s="3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D399" s="32"/>
      <c r="F399" s="3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D400" s="32"/>
      <c r="F400" s="3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D401" s="32"/>
      <c r="F401" s="3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D402" s="32"/>
      <c r="F402" s="3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D403" s="32"/>
      <c r="F403" s="3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D404" s="32"/>
      <c r="F404" s="3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D405" s="32"/>
      <c r="F405" s="3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D406" s="32"/>
      <c r="F406" s="3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D407" s="32"/>
      <c r="F407" s="3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D408" s="32"/>
      <c r="F408" s="3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D409" s="32"/>
      <c r="F409" s="3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D410" s="32"/>
      <c r="F410" s="3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D411" s="32"/>
      <c r="F411" s="3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D412" s="32"/>
      <c r="F412" s="3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D413" s="32"/>
      <c r="F413" s="3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D414" s="32"/>
      <c r="F414" s="3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D415" s="32"/>
      <c r="F415" s="3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D416" s="32"/>
      <c r="F416" s="3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D417" s="32"/>
      <c r="F417" s="3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D418" s="32"/>
      <c r="F418" s="3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D419" s="32"/>
      <c r="F419" s="3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D420" s="32"/>
      <c r="F420" s="3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D421" s="32"/>
      <c r="F421" s="3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D422" s="32"/>
      <c r="F422" s="3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D423" s="32"/>
      <c r="F423" s="3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D424" s="32"/>
      <c r="F424" s="3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D425" s="32"/>
      <c r="F425" s="3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D426" s="32"/>
      <c r="F426" s="3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D427" s="32"/>
      <c r="F427" s="3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D428" s="32"/>
      <c r="F428" s="3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D429" s="32"/>
      <c r="F429" s="3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D430" s="32"/>
      <c r="F430" s="3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D431" s="32"/>
      <c r="F431" s="3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D432" s="32"/>
      <c r="F432" s="3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D433" s="32"/>
      <c r="F433" s="3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D434" s="32"/>
      <c r="F434" s="3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D435" s="32"/>
      <c r="F435" s="3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D436" s="32"/>
      <c r="F436" s="3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D437" s="32"/>
      <c r="F437" s="3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D438" s="32"/>
      <c r="F438" s="3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D439" s="32"/>
      <c r="F439" s="3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D440" s="32"/>
      <c r="F440" s="3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D441" s="32"/>
      <c r="F441" s="3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D442" s="32"/>
      <c r="F442" s="3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D443" s="32"/>
      <c r="F443" s="3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D444" s="32"/>
      <c r="F444" s="3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D445" s="32"/>
      <c r="F445" s="3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D446" s="32"/>
      <c r="F446" s="3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D447" s="32"/>
      <c r="F447" s="3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D448" s="32"/>
      <c r="F448" s="3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D449" s="32"/>
      <c r="F449" s="3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D450" s="32"/>
      <c r="F450" s="3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D451" s="32"/>
      <c r="F451" s="3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D452" s="32"/>
      <c r="F452" s="3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D453" s="32"/>
      <c r="F453" s="3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D454" s="32"/>
      <c r="F454" s="3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D455" s="32"/>
      <c r="F455" s="3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D456" s="32"/>
      <c r="F456" s="3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D457" s="32"/>
      <c r="F457" s="3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D458" s="32"/>
      <c r="F458" s="3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D459" s="32"/>
      <c r="F459" s="3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D460" s="32"/>
      <c r="F460" s="3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D461" s="32"/>
      <c r="F461" s="3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D462" s="32"/>
      <c r="F462" s="3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D463" s="32"/>
      <c r="F463" s="3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D464" s="32"/>
      <c r="F464" s="3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D465" s="32"/>
      <c r="F465" s="3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D466" s="32"/>
      <c r="F466" s="3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D467" s="32"/>
      <c r="F467" s="3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D468" s="32"/>
      <c r="F468" s="3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D469" s="32"/>
      <c r="F469" s="3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D470" s="32"/>
      <c r="F470" s="3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D471" s="32"/>
      <c r="F471" s="3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D472" s="32"/>
      <c r="F472" s="3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D473" s="32"/>
      <c r="F473" s="3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D474" s="32"/>
      <c r="F474" s="3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D475" s="32"/>
      <c r="F475" s="3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D476" s="32"/>
      <c r="F476" s="3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D477" s="32"/>
      <c r="F477" s="3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D478" s="32"/>
      <c r="F478" s="3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D479" s="32"/>
      <c r="F479" s="3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D480" s="32"/>
      <c r="F480" s="3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D481" s="32"/>
      <c r="F481" s="3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D482" s="32"/>
      <c r="F482" s="3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D483" s="32"/>
      <c r="F483" s="3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D484" s="32"/>
      <c r="F484" s="3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D485" s="32"/>
      <c r="F485" s="3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D486" s="32"/>
      <c r="F486" s="3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D487" s="32"/>
      <c r="F487" s="3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D488" s="32"/>
      <c r="F488" s="3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D489" s="32"/>
      <c r="F489" s="3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D490" s="32"/>
      <c r="F490" s="3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D491" s="32"/>
      <c r="F491" s="3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D492" s="32"/>
      <c r="F492" s="3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D493" s="32"/>
      <c r="F493" s="3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D494" s="32"/>
      <c r="F494" s="3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D495" s="32"/>
      <c r="F495" s="3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D496" s="32"/>
      <c r="F496" s="3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D497" s="32"/>
      <c r="F497" s="3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D498" s="32"/>
      <c r="F498" s="3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D499" s="32"/>
      <c r="F499" s="3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D500" s="32"/>
      <c r="F500" s="3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D501" s="32"/>
      <c r="F501" s="3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D502" s="32"/>
      <c r="F502" s="3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D503" s="32"/>
      <c r="F503" s="3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D504" s="32"/>
      <c r="F504" s="3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D505" s="32"/>
      <c r="F505" s="3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D506" s="32"/>
      <c r="F506" s="3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D507" s="32"/>
      <c r="F507" s="3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D508" s="32"/>
      <c r="F508" s="3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D509" s="32"/>
      <c r="F509" s="3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D510" s="32"/>
      <c r="F510" s="3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D511" s="32"/>
      <c r="F511" s="3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D512" s="32"/>
      <c r="F512" s="3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D513" s="32"/>
      <c r="F513" s="3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D514" s="32"/>
      <c r="F514" s="3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D515" s="32"/>
      <c r="F515" s="3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D516" s="32"/>
      <c r="F516" s="3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D517" s="32"/>
      <c r="F517" s="3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D518" s="32"/>
      <c r="F518" s="3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D519" s="32"/>
      <c r="F519" s="3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D520" s="32"/>
      <c r="F520" s="3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D521" s="32"/>
      <c r="F521" s="3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D522" s="32"/>
      <c r="F522" s="3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D523" s="32"/>
      <c r="F523" s="3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D524" s="32"/>
      <c r="F524" s="3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D525" s="32"/>
      <c r="F525" s="3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D526" s="32"/>
      <c r="F526" s="3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D527" s="32"/>
      <c r="F527" s="3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D528" s="32"/>
      <c r="F528" s="3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D529" s="32"/>
      <c r="F529" s="3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D530" s="32"/>
      <c r="F530" s="3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D531" s="32"/>
      <c r="F531" s="3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D532" s="32"/>
      <c r="F532" s="3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D533" s="32"/>
      <c r="F533" s="3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D534" s="32"/>
      <c r="F534" s="3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D535" s="32"/>
      <c r="F535" s="3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D536" s="32"/>
      <c r="F536" s="3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D537" s="32"/>
      <c r="F537" s="3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D538" s="32"/>
      <c r="F538" s="3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D539" s="32"/>
      <c r="F539" s="3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D540" s="32"/>
      <c r="F540" s="3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D541" s="32"/>
      <c r="F541" s="3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D542" s="32"/>
      <c r="F542" s="3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D543" s="32"/>
      <c r="F543" s="3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D544" s="32"/>
      <c r="F544" s="3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D545" s="32"/>
      <c r="F545" s="3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D546" s="32"/>
      <c r="F546" s="3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D547" s="32"/>
      <c r="F547" s="3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D548" s="32"/>
      <c r="F548" s="3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D549" s="32"/>
      <c r="F549" s="3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D550" s="32"/>
      <c r="F550" s="3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D551" s="32"/>
      <c r="F551" s="3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D552" s="32"/>
      <c r="F552" s="3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D553" s="32"/>
      <c r="F553" s="3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D554" s="32"/>
      <c r="F554" s="3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D555" s="32"/>
      <c r="F555" s="3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D556" s="32"/>
      <c r="F556" s="3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D557" s="32"/>
      <c r="F557" s="3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D558" s="32"/>
      <c r="F558" s="3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D559" s="32"/>
      <c r="F559" s="3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D560" s="32"/>
      <c r="F560" s="3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D561" s="32"/>
      <c r="F561" s="3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D562" s="32"/>
      <c r="F562" s="3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D563" s="32"/>
      <c r="F563" s="3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D564" s="32"/>
      <c r="F564" s="3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D565" s="32"/>
      <c r="F565" s="3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D566" s="32"/>
      <c r="F566" s="3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D567" s="32"/>
      <c r="F567" s="3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D568" s="32"/>
      <c r="F568" s="3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D569" s="32"/>
      <c r="F569" s="3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D570" s="32"/>
      <c r="F570" s="3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D571" s="32"/>
      <c r="F571" s="3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D572" s="32"/>
      <c r="F572" s="3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D573" s="32"/>
      <c r="F573" s="3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D574" s="32"/>
      <c r="F574" s="3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D575" s="32"/>
      <c r="F575" s="3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D576" s="32"/>
      <c r="F576" s="3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D577" s="32"/>
      <c r="F577" s="3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D578" s="32"/>
      <c r="F578" s="3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D579" s="32"/>
      <c r="F579" s="3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D580" s="32"/>
      <c r="F580" s="3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D581" s="32"/>
      <c r="F581" s="3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D582" s="32"/>
      <c r="F582" s="3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D583" s="32"/>
      <c r="F583" s="3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D584" s="32"/>
      <c r="F584" s="3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D585" s="32"/>
      <c r="F585" s="3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D586" s="32"/>
      <c r="F586" s="3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D587" s="32"/>
      <c r="F587" s="3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D588" s="32"/>
      <c r="F588" s="3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D589" s="32"/>
      <c r="F589" s="3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D590" s="32"/>
      <c r="F590" s="3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D591" s="32"/>
      <c r="F591" s="3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D592" s="32"/>
      <c r="F592" s="3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D593" s="32"/>
      <c r="F593" s="3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D594" s="32"/>
      <c r="F594" s="3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D595" s="32"/>
      <c r="F595" s="3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D596" s="32"/>
      <c r="F596" s="3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D597" s="32"/>
      <c r="F597" s="3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D598" s="32"/>
      <c r="F598" s="3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D599" s="32"/>
      <c r="F599" s="3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D600" s="32"/>
      <c r="F600" s="3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D601" s="32"/>
      <c r="F601" s="3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D602" s="32"/>
      <c r="F602" s="3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D603" s="32"/>
      <c r="F603" s="3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D604" s="32"/>
      <c r="F604" s="3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D605" s="32"/>
      <c r="F605" s="3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D606" s="32"/>
      <c r="F606" s="3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D607" s="32"/>
      <c r="F607" s="3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D608" s="32"/>
      <c r="F608" s="3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D609" s="32"/>
      <c r="F609" s="3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D610" s="32"/>
      <c r="F610" s="3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D611" s="32"/>
      <c r="F611" s="3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D612" s="32"/>
      <c r="F612" s="3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D613" s="32"/>
      <c r="F613" s="3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D614" s="32"/>
      <c r="F614" s="3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D615" s="32"/>
      <c r="F615" s="3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D616" s="32"/>
      <c r="F616" s="3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D617" s="32"/>
      <c r="F617" s="3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D618" s="32"/>
      <c r="F618" s="3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D619" s="32"/>
      <c r="F619" s="3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D620" s="32"/>
      <c r="F620" s="3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D621" s="32"/>
      <c r="F621" s="3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D622" s="32"/>
      <c r="F622" s="3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D623" s="32"/>
      <c r="F623" s="3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D624" s="32"/>
      <c r="F624" s="3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D625" s="32"/>
      <c r="F625" s="3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D626" s="32"/>
      <c r="F626" s="3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D627" s="32"/>
      <c r="F627" s="3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D628" s="32"/>
      <c r="F628" s="3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D629" s="32"/>
      <c r="F629" s="3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D630" s="32"/>
      <c r="F630" s="3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D631" s="32"/>
      <c r="F631" s="3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D632" s="32"/>
      <c r="F632" s="3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D633" s="32"/>
      <c r="F633" s="3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D634" s="32"/>
      <c r="F634" s="3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D635" s="32"/>
      <c r="F635" s="3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D636" s="32"/>
      <c r="F636" s="3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D637" s="32"/>
      <c r="F637" s="3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D638" s="32"/>
      <c r="F638" s="3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D639" s="32"/>
      <c r="F639" s="3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D640" s="32"/>
      <c r="F640" s="3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D641" s="32"/>
      <c r="F641" s="3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D642" s="32"/>
      <c r="F642" s="3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D643" s="32"/>
      <c r="F643" s="3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D644" s="32"/>
      <c r="F644" s="3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D645" s="32"/>
      <c r="F645" s="3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D646" s="32"/>
      <c r="F646" s="3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D647" s="32"/>
      <c r="F647" s="3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D648" s="32"/>
      <c r="F648" s="3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D649" s="32"/>
      <c r="F649" s="3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D650" s="32"/>
      <c r="F650" s="3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D651" s="32"/>
      <c r="F651" s="3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D652" s="32"/>
      <c r="F652" s="3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D653" s="32"/>
      <c r="F653" s="3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D654" s="32"/>
      <c r="F654" s="3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D655" s="32"/>
      <c r="F655" s="3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D656" s="32"/>
      <c r="F656" s="3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D657" s="32"/>
      <c r="F657" s="3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D658" s="32"/>
      <c r="F658" s="3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D659" s="32"/>
      <c r="F659" s="3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D660" s="32"/>
      <c r="F660" s="3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D661" s="32"/>
      <c r="F661" s="3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D662" s="32"/>
      <c r="F662" s="3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D663" s="32"/>
      <c r="F663" s="3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D664" s="32"/>
      <c r="F664" s="3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D665" s="32"/>
      <c r="F665" s="3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D666" s="32"/>
      <c r="F666" s="3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D667" s="32"/>
      <c r="F667" s="3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D668" s="32"/>
      <c r="F668" s="3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D669" s="32"/>
      <c r="F669" s="3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D670" s="32"/>
      <c r="F670" s="3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D671" s="32"/>
      <c r="F671" s="3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D672" s="32"/>
      <c r="F672" s="3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D673" s="32"/>
      <c r="F673" s="3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D674" s="32"/>
      <c r="F674" s="3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D675" s="32"/>
      <c r="F675" s="3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D676" s="32"/>
      <c r="F676" s="3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D677" s="32"/>
      <c r="F677" s="3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D678" s="32"/>
      <c r="F678" s="3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D679" s="32"/>
      <c r="F679" s="3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D680" s="32"/>
      <c r="F680" s="3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D681" s="32"/>
      <c r="F681" s="3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D682" s="32"/>
      <c r="F682" s="3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D683" s="32"/>
      <c r="F683" s="3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D684" s="32"/>
      <c r="F684" s="3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D685" s="32"/>
      <c r="F685" s="3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D686" s="32"/>
      <c r="F686" s="3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D687" s="32"/>
      <c r="F687" s="3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D688" s="32"/>
      <c r="F688" s="3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D689" s="32"/>
      <c r="F689" s="3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D690" s="32"/>
      <c r="F690" s="3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D691" s="32"/>
      <c r="F691" s="3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D692" s="32"/>
      <c r="F692" s="3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D693" s="32"/>
      <c r="F693" s="3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D694" s="32"/>
      <c r="F694" s="3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D695" s="32"/>
      <c r="F695" s="3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D696" s="32"/>
      <c r="F696" s="3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D697" s="32"/>
      <c r="F697" s="3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D698" s="32"/>
      <c r="F698" s="3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D699" s="32"/>
      <c r="F699" s="3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D700" s="32"/>
      <c r="F700" s="3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D701" s="32"/>
      <c r="F701" s="3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D702" s="32"/>
      <c r="F702" s="3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D703" s="32"/>
      <c r="F703" s="3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D704" s="32"/>
      <c r="F704" s="3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D705" s="32"/>
      <c r="F705" s="3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D706" s="32"/>
      <c r="F706" s="3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D707" s="32"/>
      <c r="F707" s="3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D708" s="32"/>
      <c r="F708" s="3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D709" s="32"/>
      <c r="F709" s="3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D710" s="32"/>
      <c r="F710" s="3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D711" s="32"/>
      <c r="F711" s="3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D712" s="32"/>
      <c r="F712" s="3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D713" s="32"/>
      <c r="F713" s="3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D714" s="32"/>
      <c r="F714" s="3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D715" s="32"/>
      <c r="F715" s="3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D716" s="32"/>
      <c r="F716" s="3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D717" s="32"/>
      <c r="F717" s="3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D718" s="32"/>
      <c r="F718" s="3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D719" s="32"/>
      <c r="F719" s="3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D720" s="32"/>
      <c r="F720" s="3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D721" s="32"/>
      <c r="F721" s="3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D722" s="32"/>
      <c r="F722" s="3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D723" s="32"/>
      <c r="F723" s="3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D724" s="32"/>
      <c r="F724" s="3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D725" s="32"/>
      <c r="F725" s="3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D726" s="32"/>
      <c r="F726" s="3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D727" s="32"/>
      <c r="F727" s="3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D728" s="32"/>
      <c r="F728" s="3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D729" s="32"/>
      <c r="F729" s="3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D730" s="32"/>
      <c r="F730" s="3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D731" s="32"/>
      <c r="F731" s="3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D732" s="32"/>
      <c r="F732" s="3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D733" s="32"/>
      <c r="F733" s="3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D734" s="32"/>
      <c r="F734" s="3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D735" s="32"/>
      <c r="F735" s="3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D736" s="32"/>
      <c r="F736" s="3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D737" s="32"/>
      <c r="F737" s="3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D738" s="32"/>
      <c r="F738" s="3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D739" s="32"/>
      <c r="F739" s="3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D740" s="32"/>
      <c r="F740" s="3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D741" s="32"/>
      <c r="F741" s="3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D742" s="32"/>
      <c r="F742" s="3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D743" s="32"/>
      <c r="F743" s="3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D744" s="32"/>
      <c r="F744" s="3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D745" s="32"/>
      <c r="F745" s="3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D746" s="32"/>
      <c r="F746" s="3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D747" s="32"/>
      <c r="F747" s="3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D748" s="32"/>
      <c r="F748" s="3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D749" s="32"/>
      <c r="F749" s="3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D750" s="32"/>
      <c r="F750" s="3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D751" s="32"/>
      <c r="F751" s="3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D752" s="32"/>
      <c r="F752" s="3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D753" s="32"/>
      <c r="F753" s="3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D754" s="32"/>
      <c r="F754" s="3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D755" s="32"/>
      <c r="F755" s="3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D756" s="32"/>
      <c r="F756" s="3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D757" s="32"/>
      <c r="F757" s="3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D758" s="32"/>
      <c r="F758" s="3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D759" s="32"/>
      <c r="F759" s="3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D760" s="32"/>
      <c r="F760" s="3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D761" s="32"/>
      <c r="F761" s="3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D762" s="32"/>
      <c r="F762" s="3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D763" s="32"/>
      <c r="F763" s="3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D764" s="32"/>
      <c r="F764" s="3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D765" s="32"/>
      <c r="F765" s="3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D766" s="32"/>
      <c r="F766" s="3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D767" s="32"/>
      <c r="F767" s="3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D768" s="32"/>
      <c r="F768" s="3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D769" s="32"/>
      <c r="F769" s="3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D770" s="32"/>
      <c r="F770" s="3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D771" s="32"/>
      <c r="F771" s="3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D772" s="32"/>
      <c r="F772" s="3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D773" s="32"/>
      <c r="F773" s="3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D774" s="32"/>
      <c r="F774" s="3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D775" s="32"/>
      <c r="F775" s="3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D776" s="32"/>
      <c r="F776" s="3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D777" s="32"/>
      <c r="F777" s="3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D778" s="32"/>
      <c r="F778" s="3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D779" s="32"/>
      <c r="F779" s="3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D780" s="32"/>
      <c r="F780" s="3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D781" s="32"/>
      <c r="F781" s="3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D782" s="32"/>
      <c r="F782" s="3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D783" s="32"/>
      <c r="F783" s="3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D784" s="32"/>
      <c r="F784" s="3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D785" s="32"/>
      <c r="F785" s="3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D786" s="32"/>
      <c r="F786" s="3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D787" s="32"/>
      <c r="F787" s="3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D788" s="32"/>
      <c r="F788" s="3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D789" s="32"/>
      <c r="F789" s="3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D790" s="32"/>
      <c r="F790" s="3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D791" s="32"/>
      <c r="F791" s="3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D792" s="32"/>
      <c r="F792" s="3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D793" s="32"/>
      <c r="F793" s="3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D794" s="32"/>
      <c r="F794" s="3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D795" s="32"/>
      <c r="F795" s="3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D796" s="32"/>
      <c r="F796" s="3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D797" s="32"/>
      <c r="F797" s="3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D798" s="32"/>
      <c r="F798" s="3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D799" s="32"/>
      <c r="F799" s="3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D800" s="32"/>
      <c r="F800" s="3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D801" s="32"/>
      <c r="F801" s="3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D802" s="32"/>
      <c r="F802" s="3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D803" s="32"/>
      <c r="F803" s="3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D804" s="32"/>
      <c r="F804" s="3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D805" s="32"/>
      <c r="F805" s="3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D806" s="32"/>
      <c r="F806" s="3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D807" s="32"/>
      <c r="F807" s="3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D808" s="32"/>
      <c r="F808" s="3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D809" s="32"/>
      <c r="F809" s="3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D810" s="32"/>
      <c r="F810" s="3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D811" s="32"/>
      <c r="F811" s="3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D812" s="32"/>
      <c r="F812" s="3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D813" s="32"/>
      <c r="F813" s="3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D814" s="32"/>
      <c r="F814" s="3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D815" s="32"/>
      <c r="F815" s="3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D816" s="32"/>
      <c r="F816" s="3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D817" s="32"/>
      <c r="F817" s="3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D818" s="32"/>
      <c r="F818" s="3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D819" s="32"/>
      <c r="F819" s="3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D820" s="32"/>
      <c r="F820" s="3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D821" s="32"/>
      <c r="F821" s="3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D822" s="32"/>
      <c r="F822" s="3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D823" s="32"/>
      <c r="F823" s="3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D824" s="32"/>
      <c r="F824" s="3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D825" s="32"/>
      <c r="F825" s="3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D826" s="32"/>
      <c r="F826" s="3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D827" s="32"/>
      <c r="F827" s="3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D828" s="32"/>
      <c r="F828" s="3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D829" s="32"/>
      <c r="F829" s="3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D830" s="32"/>
      <c r="F830" s="3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D831" s="32"/>
      <c r="F831" s="3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D832" s="32"/>
      <c r="F832" s="3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D833" s="32"/>
      <c r="F833" s="3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D834" s="32"/>
      <c r="F834" s="3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D835" s="32"/>
      <c r="F835" s="3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D836" s="32"/>
      <c r="F836" s="3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D837" s="32"/>
      <c r="F837" s="3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D838" s="32"/>
      <c r="F838" s="3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D839" s="32"/>
      <c r="F839" s="3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D840" s="32"/>
      <c r="F840" s="3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D841" s="32"/>
      <c r="F841" s="3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D842" s="32"/>
      <c r="F842" s="3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D843" s="32"/>
      <c r="F843" s="3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D844" s="32"/>
      <c r="F844" s="3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D845" s="32"/>
      <c r="F845" s="3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D846" s="32"/>
      <c r="F846" s="3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D847" s="32"/>
      <c r="F847" s="3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D848" s="32"/>
      <c r="F848" s="3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D849" s="32"/>
      <c r="F849" s="3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D850" s="32"/>
      <c r="F850" s="3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D851" s="32"/>
      <c r="F851" s="3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D852" s="32"/>
      <c r="F852" s="3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D853" s="32"/>
      <c r="F853" s="3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D854" s="32"/>
      <c r="F854" s="3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D855" s="32"/>
      <c r="F855" s="3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D856" s="32"/>
      <c r="F856" s="3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D857" s="32"/>
      <c r="F857" s="3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D858" s="32"/>
      <c r="F858" s="3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D859" s="32"/>
      <c r="F859" s="3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D860" s="32"/>
      <c r="F860" s="3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D861" s="32"/>
      <c r="F861" s="3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D862" s="32"/>
      <c r="F862" s="3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D863" s="32"/>
      <c r="F863" s="3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D864" s="32"/>
      <c r="F864" s="3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D865" s="32"/>
      <c r="F865" s="3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D866" s="32"/>
      <c r="F866" s="3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D867" s="32"/>
      <c r="F867" s="3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D868" s="32"/>
      <c r="F868" s="3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D869" s="32"/>
      <c r="F869" s="3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D870" s="32"/>
      <c r="F870" s="3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D871" s="32"/>
      <c r="F871" s="3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D872" s="32"/>
      <c r="F872" s="3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D873" s="32"/>
      <c r="F873" s="3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D874" s="32"/>
      <c r="F874" s="3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D875" s="32"/>
      <c r="F875" s="3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D876" s="32"/>
      <c r="F876" s="3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D877" s="32"/>
      <c r="F877" s="3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D878" s="32"/>
      <c r="F878" s="3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D879" s="32"/>
      <c r="F879" s="3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D880" s="32"/>
      <c r="F880" s="3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D881" s="32"/>
      <c r="F881" s="3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D882" s="32"/>
      <c r="F882" s="3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D883" s="32"/>
      <c r="F883" s="3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D884" s="32"/>
      <c r="F884" s="3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D885" s="32"/>
      <c r="F885" s="3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D886" s="32"/>
      <c r="F886" s="3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D887" s="32"/>
      <c r="F887" s="3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D888" s="32"/>
      <c r="F888" s="3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D889" s="32"/>
      <c r="F889" s="3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D890" s="32"/>
      <c r="F890" s="3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D891" s="32"/>
      <c r="F891" s="3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D892" s="32"/>
      <c r="F892" s="3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D893" s="32"/>
      <c r="F893" s="3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D894" s="32"/>
      <c r="F894" s="3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D895" s="32"/>
      <c r="F895" s="3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D896" s="32"/>
      <c r="F896" s="3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D897" s="32"/>
      <c r="F897" s="3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D898" s="32"/>
      <c r="F898" s="3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D899" s="32"/>
      <c r="F899" s="3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D900" s="32"/>
      <c r="F900" s="3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D901" s="32"/>
      <c r="F901" s="3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D902" s="32"/>
      <c r="F902" s="3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D903" s="32"/>
      <c r="F903" s="3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D904" s="32"/>
      <c r="F904" s="3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D905" s="32"/>
      <c r="F905" s="3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D906" s="32"/>
      <c r="F906" s="3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D907" s="32"/>
      <c r="F907" s="3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D908" s="32"/>
      <c r="F908" s="3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D909" s="32"/>
      <c r="F909" s="3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D910" s="32"/>
      <c r="F910" s="3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D911" s="32"/>
      <c r="F911" s="3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D912" s="32"/>
      <c r="F912" s="3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D913" s="32"/>
      <c r="F913" s="3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D914" s="32"/>
      <c r="F914" s="3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D915" s="32"/>
      <c r="F915" s="3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D916" s="32"/>
      <c r="F916" s="3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D917" s="32"/>
      <c r="F917" s="3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D918" s="32"/>
      <c r="F918" s="3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D919" s="32"/>
      <c r="F919" s="3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D920" s="32"/>
      <c r="F920" s="3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D921" s="32"/>
      <c r="F921" s="3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D922" s="32"/>
      <c r="F922" s="3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D923" s="32"/>
      <c r="F923" s="3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D924" s="32"/>
      <c r="F924" s="3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D925" s="32"/>
      <c r="F925" s="3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D926" s="32"/>
      <c r="F926" s="3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D927" s="32"/>
      <c r="F927" s="3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D928" s="32"/>
      <c r="F928" s="3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D929" s="32"/>
      <c r="F929" s="3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D930" s="32"/>
      <c r="F930" s="3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D931" s="32"/>
      <c r="F931" s="3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D932" s="32"/>
      <c r="F932" s="3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D933" s="32"/>
      <c r="F933" s="3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D934" s="32"/>
      <c r="F934" s="3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D935" s="32"/>
      <c r="F935" s="3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D936" s="32"/>
      <c r="F936" s="3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D937" s="32"/>
      <c r="F937" s="3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D938" s="32"/>
      <c r="F938" s="3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D939" s="32"/>
      <c r="F939" s="3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D940" s="32"/>
      <c r="F940" s="3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D941" s="32"/>
      <c r="F941" s="3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D942" s="32"/>
      <c r="F942" s="3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D943" s="32"/>
      <c r="F943" s="3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D944" s="32"/>
      <c r="F944" s="3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D945" s="32"/>
      <c r="F945" s="3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D946" s="32"/>
      <c r="F946" s="3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D947" s="32"/>
      <c r="F947" s="3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D948" s="32"/>
      <c r="F948" s="3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D949" s="32"/>
      <c r="F949" s="3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D950" s="32"/>
      <c r="F950" s="3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D951" s="32"/>
      <c r="F951" s="3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D952" s="32"/>
      <c r="F952" s="3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D953" s="32"/>
      <c r="F953" s="3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D954" s="32"/>
      <c r="F954" s="3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D955" s="32"/>
      <c r="F955" s="3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D956" s="32"/>
      <c r="F956" s="3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D957" s="32"/>
      <c r="F957" s="3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D958" s="32"/>
      <c r="F958" s="3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D959" s="32"/>
      <c r="F959" s="3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D960" s="32"/>
      <c r="F960" s="3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D961" s="32"/>
      <c r="F961" s="3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D962" s="32"/>
      <c r="F962" s="3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D963" s="32"/>
      <c r="F963" s="3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D964" s="32"/>
      <c r="F964" s="3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D965" s="32"/>
      <c r="F965" s="3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D966" s="32"/>
      <c r="F966" s="3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D967" s="32"/>
      <c r="F967" s="3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D968" s="32"/>
      <c r="F968" s="3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D969" s="32"/>
      <c r="F969" s="3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D970" s="32"/>
      <c r="F970" s="3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D971" s="32"/>
      <c r="F971" s="3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D972" s="32"/>
      <c r="F972" s="3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D973" s="32"/>
      <c r="F973" s="3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D974" s="32"/>
      <c r="F974" s="3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D975" s="32"/>
      <c r="F975" s="3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D976" s="32"/>
      <c r="F976" s="3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D977" s="32"/>
      <c r="F977" s="3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D978" s="32"/>
      <c r="F978" s="3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D979" s="32"/>
      <c r="F979" s="3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D980" s="32"/>
      <c r="F980" s="3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D981" s="32"/>
      <c r="F981" s="3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D982" s="32"/>
      <c r="F982" s="3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D983" s="32"/>
      <c r="F983" s="3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D984" s="32"/>
      <c r="F984" s="3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D985" s="32"/>
      <c r="F985" s="3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D986" s="32"/>
      <c r="F986" s="3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D987" s="32"/>
      <c r="F987" s="3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D988" s="32"/>
      <c r="F988" s="3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D989" s="32"/>
      <c r="F989" s="3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D990" s="32"/>
      <c r="F990" s="3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D991" s="32"/>
      <c r="F991" s="3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D992" s="32"/>
      <c r="F992" s="3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D993" s="32"/>
      <c r="F993" s="3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D994" s="32"/>
      <c r="F994" s="3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D995" s="32"/>
      <c r="F995" s="3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D996" s="32"/>
      <c r="F996" s="3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D997" s="32"/>
      <c r="F997" s="3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D998" s="32"/>
      <c r="F998" s="3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D999" s="32"/>
      <c r="F999" s="3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D1000" s="32"/>
      <c r="F1000" s="3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0.56"/>
    <col customWidth="1" min="2" max="2" width="25.67"/>
    <col customWidth="1" min="3" max="3" width="22.33"/>
    <col customWidth="1" min="4" max="6" width="10.56"/>
    <col customWidth="1" min="7" max="7" width="48.0"/>
    <col customWidth="1" min="8" max="26" width="10.5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</row>
    <row r="2">
      <c r="A2" s="2" t="s">
        <v>0</v>
      </c>
      <c r="B2" s="3"/>
      <c r="C2" s="3"/>
      <c r="D2" s="5">
        <f>es.farnell.com!F15+www.diotronic.com!F15+tienda.bricogeek.com!F15+www.electan.com!F15</f>
        <v>223.31</v>
      </c>
      <c r="E2" s="1"/>
      <c r="F2" s="1"/>
      <c r="G2" s="1"/>
      <c r="H2" s="1"/>
      <c r="I2" s="1"/>
      <c r="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</row>
    <row r="4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</row>
    <row r="6">
      <c r="A6" s="6" t="s">
        <v>2</v>
      </c>
      <c r="B6" s="6" t="s">
        <v>3</v>
      </c>
      <c r="C6" s="6" t="s">
        <v>4</v>
      </c>
      <c r="D6" s="8" t="s">
        <v>5</v>
      </c>
      <c r="E6" s="8" t="s">
        <v>6</v>
      </c>
      <c r="F6" s="6" t="s">
        <v>7</v>
      </c>
      <c r="G6" s="9" t="s">
        <v>8</v>
      </c>
      <c r="H6" s="1"/>
      <c r="I6" s="1"/>
      <c r="J6" s="1"/>
    </row>
    <row r="7">
      <c r="A7" s="1">
        <v>1.0</v>
      </c>
      <c r="B7" s="1"/>
      <c r="C7" s="1"/>
      <c r="D7" s="1"/>
      <c r="E7" s="1"/>
      <c r="F7" s="33"/>
      <c r="G7" s="1"/>
      <c r="H7" s="1"/>
      <c r="I7" s="1"/>
      <c r="J7" s="1"/>
    </row>
    <row r="8">
      <c r="A8" s="1">
        <v>2.0</v>
      </c>
      <c r="B8" s="1"/>
      <c r="C8" s="1"/>
      <c r="D8" s="1"/>
      <c r="E8" s="1"/>
      <c r="F8" s="34"/>
      <c r="G8" s="1"/>
      <c r="H8" s="1"/>
      <c r="I8" s="1"/>
      <c r="J8" s="1"/>
    </row>
    <row r="9">
      <c r="A9" s="1">
        <v>3.0</v>
      </c>
      <c r="B9" s="1"/>
      <c r="C9" s="1"/>
      <c r="D9" s="1"/>
      <c r="E9" s="1"/>
      <c r="F9" s="34"/>
      <c r="G9" s="1"/>
      <c r="H9" s="1"/>
      <c r="I9" s="1"/>
      <c r="J9" s="1"/>
    </row>
    <row r="10">
      <c r="A10" s="1">
        <v>4.0</v>
      </c>
      <c r="B10" s="1"/>
      <c r="C10" s="1"/>
      <c r="D10" s="1"/>
      <c r="E10" s="1"/>
      <c r="F10" s="34"/>
      <c r="G10" s="1"/>
      <c r="H10" s="1"/>
      <c r="I10" s="1"/>
      <c r="J10" s="1"/>
    </row>
    <row r="11">
      <c r="A11" s="1">
        <v>5.0</v>
      </c>
      <c r="B11" s="1"/>
      <c r="C11" s="1"/>
      <c r="D11" s="1"/>
      <c r="E11" s="1"/>
      <c r="F11" s="34"/>
      <c r="G11" s="1"/>
      <c r="H11" s="1"/>
      <c r="I11" s="1"/>
      <c r="J11" s="1"/>
    </row>
    <row r="12">
      <c r="A12" s="1">
        <v>6.0</v>
      </c>
      <c r="B12" s="1"/>
      <c r="C12" s="1"/>
      <c r="D12" s="1"/>
      <c r="E12" s="1"/>
      <c r="F12" s="34"/>
      <c r="G12" s="1"/>
      <c r="H12" s="1"/>
      <c r="I12" s="1"/>
      <c r="J12" s="1"/>
    </row>
    <row r="13">
      <c r="A13" s="1">
        <v>7.0</v>
      </c>
      <c r="B13" s="1"/>
      <c r="C13" s="1"/>
      <c r="D13" s="1"/>
      <c r="E13" s="1"/>
      <c r="F13" s="34"/>
      <c r="G13" s="1"/>
      <c r="H13" s="1"/>
      <c r="I13" s="1"/>
      <c r="J13" s="1"/>
    </row>
    <row r="14">
      <c r="A14" s="17">
        <v>8.0</v>
      </c>
      <c r="B14" s="17"/>
      <c r="C14" s="17"/>
      <c r="D14" s="17"/>
      <c r="E14" s="17"/>
      <c r="F14" s="35"/>
      <c r="G14" s="1"/>
      <c r="H14" s="1"/>
      <c r="I14" s="1"/>
      <c r="J14" s="1"/>
    </row>
    <row r="15">
      <c r="A15" s="36"/>
      <c r="B15" s="36"/>
      <c r="C15" s="27"/>
      <c r="D15" s="36"/>
      <c r="E15" s="37" t="s">
        <v>7</v>
      </c>
      <c r="F15" s="38">
        <v>0.0</v>
      </c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2" max="2" width="19.78"/>
  </cols>
  <sheetData>
    <row r="1">
      <c r="A1" s="39"/>
    </row>
    <row r="2">
      <c r="A2" s="2" t="s">
        <v>0</v>
      </c>
      <c r="B2" s="3"/>
      <c r="C2" s="3"/>
      <c r="D2" s="5">
        <f>es.farnell.com!F15+www.diotronic.com!F15+tienda.bricogeek.com!F15+www.electan.com!F15+OTROS!F15</f>
        <v>275.83</v>
      </c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>
      <c r="A4" s="1" t="s">
        <v>1</v>
      </c>
      <c r="B4" s="1"/>
      <c r="C4" s="1"/>
      <c r="D4" s="1"/>
      <c r="E4" s="1"/>
      <c r="F4" s="1"/>
      <c r="G4" s="1"/>
    </row>
    <row r="5">
      <c r="A5" s="1"/>
      <c r="B5" s="1"/>
      <c r="C5" s="1"/>
      <c r="D5" s="18" t="s">
        <v>25</v>
      </c>
      <c r="E5" s="1"/>
      <c r="F5" s="1"/>
      <c r="G5" s="1"/>
    </row>
    <row r="6">
      <c r="A6" s="6" t="s">
        <v>2</v>
      </c>
      <c r="B6" s="6" t="s">
        <v>3</v>
      </c>
      <c r="C6" s="6" t="s">
        <v>4</v>
      </c>
      <c r="D6" s="8" t="s">
        <v>5</v>
      </c>
      <c r="E6" s="8" t="s">
        <v>6</v>
      </c>
      <c r="F6" s="6" t="s">
        <v>7</v>
      </c>
      <c r="G6" s="9" t="s">
        <v>8</v>
      </c>
    </row>
    <row r="7">
      <c r="A7" s="1">
        <v>1.0</v>
      </c>
      <c r="B7" s="40" t="s">
        <v>26</v>
      </c>
      <c r="C7" s="11"/>
      <c r="D7" s="41">
        <v>20.0</v>
      </c>
      <c r="E7" s="42">
        <v>1.0</v>
      </c>
      <c r="F7" s="13">
        <f t="shared" ref="F7:F14" si="1">PRODUCT(D7,E7)</f>
        <v>20</v>
      </c>
      <c r="G7" s="43" t="s">
        <v>27</v>
      </c>
    </row>
    <row r="8">
      <c r="A8" s="1">
        <v>2.0</v>
      </c>
      <c r="B8" s="40" t="s">
        <v>28</v>
      </c>
      <c r="C8" s="11"/>
      <c r="D8" s="41">
        <v>26.62</v>
      </c>
      <c r="E8" s="42">
        <v>1.0</v>
      </c>
      <c r="F8" s="13">
        <f t="shared" si="1"/>
        <v>26.62</v>
      </c>
      <c r="G8" s="43" t="s">
        <v>29</v>
      </c>
    </row>
    <row r="9">
      <c r="A9" s="1">
        <v>3.0</v>
      </c>
      <c r="B9" s="40" t="s">
        <v>30</v>
      </c>
      <c r="C9" s="11"/>
      <c r="D9" s="13"/>
      <c r="E9" s="15"/>
      <c r="F9" s="13">
        <f t="shared" si="1"/>
        <v>0</v>
      </c>
      <c r="G9" s="1"/>
    </row>
    <row r="10">
      <c r="A10" s="1">
        <v>4.0</v>
      </c>
      <c r="B10" s="40" t="s">
        <v>31</v>
      </c>
      <c r="C10" s="11"/>
      <c r="D10" s="41">
        <v>0.59</v>
      </c>
      <c r="E10" s="42">
        <v>10.0</v>
      </c>
      <c r="F10" s="13">
        <f t="shared" si="1"/>
        <v>5.9</v>
      </c>
      <c r="G10" s="43" t="s">
        <v>32</v>
      </c>
    </row>
    <row r="11">
      <c r="A11" s="1">
        <v>5.0</v>
      </c>
      <c r="B11" s="11"/>
      <c r="C11" s="11"/>
      <c r="D11" s="13"/>
      <c r="E11" s="15"/>
      <c r="F11" s="13">
        <f t="shared" si="1"/>
        <v>0</v>
      </c>
      <c r="G11" s="1"/>
    </row>
    <row r="12">
      <c r="A12" s="1">
        <v>6.0</v>
      </c>
      <c r="B12" s="11"/>
      <c r="C12" s="11"/>
      <c r="D12" s="26"/>
      <c r="E12" s="15"/>
      <c r="F12" s="13">
        <f t="shared" si="1"/>
        <v>0</v>
      </c>
      <c r="G12" s="1"/>
    </row>
    <row r="13">
      <c r="A13" s="1">
        <v>7.0</v>
      </c>
      <c r="B13" s="11"/>
      <c r="C13" s="11"/>
      <c r="D13" s="13"/>
      <c r="E13" s="15"/>
      <c r="F13" s="13">
        <f t="shared" si="1"/>
        <v>0</v>
      </c>
      <c r="G13" s="1"/>
    </row>
    <row r="14">
      <c r="A14" s="17">
        <v>8.0</v>
      </c>
      <c r="B14" s="11"/>
      <c r="C14" s="29"/>
      <c r="D14" s="13"/>
      <c r="E14" s="15"/>
      <c r="F14" s="13">
        <f t="shared" si="1"/>
        <v>0</v>
      </c>
      <c r="G14" s="1"/>
    </row>
    <row r="15">
      <c r="A15" s="19"/>
      <c r="B15" s="19"/>
      <c r="C15" s="19"/>
      <c r="D15" s="19"/>
      <c r="E15" s="21" t="s">
        <v>7</v>
      </c>
      <c r="F15" s="31">
        <f>sum(F7:F14)</f>
        <v>52.52</v>
      </c>
      <c r="G15" s="24"/>
    </row>
  </sheetData>
  <hyperlinks>
    <hyperlink r:id="rId1" ref="G7"/>
    <hyperlink r:id="rId2" ref="G8"/>
    <hyperlink r:id="rId3" ref="G10"/>
  </hyperlinks>
  <drawing r:id="rId4"/>
</worksheet>
</file>